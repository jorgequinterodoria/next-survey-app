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ÍA GONZÁLEZ AYUZ\SynologyDrive\MGA CENTRAL\6.2. EVALUACION PSICOSOCIAL EN CURSO\13 DIAGNOSTILAB\2. Planeación\"/>
    </mc:Choice>
  </mc:AlternateContent>
  <xr:revisionPtr revIDLastSave="0" documentId="8_{EEF02E54-CF8C-4892-B61E-464E5F7027AD}" xr6:coauthVersionLast="47" xr6:coauthVersionMax="47" xr10:uidLastSave="{00000000-0000-0000-0000-000000000000}"/>
  <bookViews>
    <workbookView xWindow="-120" yWindow="-120" windowWidth="29040" windowHeight="17520" xr2:uid="{93504D9D-FBDB-4BD0-9FF8-AEE6708A0A32}"/>
  </bookViews>
  <sheets>
    <sheet name="Registr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7" i="1" l="1"/>
  <c r="J57" i="1" s="1"/>
  <c r="K57" i="1" s="1"/>
  <c r="A57" i="1"/>
  <c r="G56" i="1"/>
  <c r="J56" i="1" s="1"/>
  <c r="K56" i="1" s="1"/>
  <c r="A56" i="1"/>
  <c r="G55" i="1"/>
  <c r="J55" i="1" s="1"/>
  <c r="K55" i="1" s="1"/>
  <c r="A55" i="1"/>
  <c r="G54" i="1"/>
  <c r="J54" i="1" s="1"/>
  <c r="K54" i="1" s="1"/>
  <c r="A54" i="1"/>
  <c r="G53" i="1"/>
  <c r="J53" i="1" s="1"/>
  <c r="K53" i="1" s="1"/>
  <c r="A53" i="1"/>
  <c r="G52" i="1"/>
  <c r="J52" i="1" s="1"/>
  <c r="K52" i="1" s="1"/>
  <c r="A52" i="1"/>
  <c r="G51" i="1"/>
  <c r="J51" i="1" s="1"/>
  <c r="K51" i="1" s="1"/>
  <c r="A51" i="1"/>
  <c r="G50" i="1"/>
  <c r="J50" i="1" s="1"/>
  <c r="K50" i="1" s="1"/>
  <c r="A50" i="1"/>
  <c r="G49" i="1"/>
  <c r="J49" i="1" s="1"/>
  <c r="K49" i="1" s="1"/>
  <c r="A49" i="1"/>
  <c r="G48" i="1"/>
  <c r="J48" i="1" s="1"/>
  <c r="K48" i="1" s="1"/>
  <c r="A48" i="1"/>
  <c r="G47" i="1"/>
  <c r="J47" i="1" s="1"/>
  <c r="K47" i="1" s="1"/>
  <c r="A47" i="1"/>
  <c r="G46" i="1"/>
  <c r="J46" i="1" s="1"/>
  <c r="K46" i="1" s="1"/>
  <c r="A46" i="1"/>
  <c r="G45" i="1"/>
  <c r="J45" i="1" s="1"/>
  <c r="K45" i="1" s="1"/>
  <c r="A45" i="1"/>
  <c r="G44" i="1"/>
  <c r="J44" i="1" s="1"/>
  <c r="K44" i="1" s="1"/>
  <c r="A44" i="1"/>
  <c r="G43" i="1"/>
  <c r="J43" i="1" s="1"/>
  <c r="K43" i="1" s="1"/>
  <c r="A43" i="1"/>
  <c r="G42" i="1"/>
  <c r="J42" i="1" s="1"/>
  <c r="K42" i="1" s="1"/>
  <c r="A42" i="1"/>
  <c r="G41" i="1"/>
  <c r="J41" i="1" s="1"/>
  <c r="K41" i="1" s="1"/>
  <c r="A41" i="1"/>
  <c r="G40" i="1"/>
  <c r="J40" i="1" s="1"/>
  <c r="K40" i="1" s="1"/>
  <c r="A40" i="1"/>
  <c r="G39" i="1"/>
  <c r="J39" i="1" s="1"/>
  <c r="K39" i="1" s="1"/>
  <c r="A39" i="1"/>
  <c r="G38" i="1"/>
  <c r="J38" i="1" s="1"/>
  <c r="K38" i="1" s="1"/>
  <c r="A38" i="1"/>
  <c r="G37" i="1"/>
  <c r="J37" i="1" s="1"/>
  <c r="K37" i="1" s="1"/>
  <c r="A37" i="1"/>
  <c r="G36" i="1"/>
  <c r="J36" i="1" s="1"/>
  <c r="K36" i="1" s="1"/>
  <c r="A36" i="1"/>
  <c r="G35" i="1"/>
  <c r="J35" i="1" s="1"/>
  <c r="K35" i="1" s="1"/>
  <c r="A35" i="1"/>
  <c r="G34" i="1"/>
  <c r="J34" i="1" s="1"/>
  <c r="K34" i="1" s="1"/>
  <c r="A34" i="1"/>
  <c r="G33" i="1"/>
  <c r="J33" i="1" s="1"/>
  <c r="K33" i="1" s="1"/>
  <c r="A33" i="1"/>
  <c r="G32" i="1"/>
  <c r="J32" i="1" s="1"/>
  <c r="K32" i="1" s="1"/>
  <c r="A32" i="1"/>
  <c r="G31" i="1"/>
  <c r="J31" i="1" s="1"/>
  <c r="K31" i="1" s="1"/>
  <c r="A31" i="1"/>
  <c r="J30" i="1"/>
  <c r="K30" i="1" s="1"/>
  <c r="G30" i="1"/>
  <c r="A30" i="1"/>
  <c r="G29" i="1"/>
  <c r="J29" i="1" s="1"/>
  <c r="K29" i="1" s="1"/>
  <c r="A29" i="1"/>
  <c r="G28" i="1"/>
  <c r="J28" i="1" s="1"/>
  <c r="K28" i="1" s="1"/>
  <c r="A28" i="1"/>
  <c r="G27" i="1"/>
  <c r="J27" i="1" s="1"/>
  <c r="K27" i="1" s="1"/>
  <c r="A27" i="1"/>
  <c r="G26" i="1"/>
  <c r="J26" i="1" s="1"/>
  <c r="K26" i="1" s="1"/>
  <c r="A26" i="1"/>
  <c r="G25" i="1"/>
  <c r="J25" i="1" s="1"/>
  <c r="K25" i="1" s="1"/>
  <c r="A25" i="1"/>
  <c r="G24" i="1"/>
  <c r="J24" i="1" s="1"/>
  <c r="K24" i="1" s="1"/>
  <c r="A24" i="1"/>
  <c r="G23" i="1"/>
  <c r="J23" i="1" s="1"/>
  <c r="K23" i="1" s="1"/>
  <c r="A23" i="1"/>
  <c r="G22" i="1"/>
  <c r="J22" i="1" s="1"/>
  <c r="K22" i="1" s="1"/>
  <c r="A22" i="1"/>
  <c r="G21" i="1"/>
  <c r="J21" i="1" s="1"/>
  <c r="K21" i="1" s="1"/>
  <c r="A21" i="1"/>
  <c r="G20" i="1"/>
  <c r="J20" i="1" s="1"/>
  <c r="K20" i="1" s="1"/>
  <c r="A20" i="1"/>
  <c r="G19" i="1"/>
  <c r="J19" i="1" s="1"/>
  <c r="K19" i="1" s="1"/>
  <c r="A19" i="1"/>
  <c r="G18" i="1"/>
  <c r="J18" i="1" s="1"/>
  <c r="K18" i="1" s="1"/>
  <c r="A18" i="1"/>
  <c r="G17" i="1"/>
  <c r="J17" i="1" s="1"/>
  <c r="K17" i="1" s="1"/>
  <c r="A17" i="1"/>
  <c r="G16" i="1"/>
  <c r="J16" i="1" s="1"/>
  <c r="K16" i="1" s="1"/>
  <c r="A16" i="1"/>
  <c r="G15" i="1"/>
  <c r="J15" i="1" s="1"/>
  <c r="K15" i="1" s="1"/>
  <c r="A15" i="1"/>
  <c r="G14" i="1"/>
  <c r="J14" i="1" s="1"/>
  <c r="K14" i="1" s="1"/>
  <c r="A14" i="1"/>
  <c r="G13" i="1"/>
  <c r="J13" i="1" s="1"/>
  <c r="K13" i="1" s="1"/>
  <c r="A13" i="1"/>
  <c r="G12" i="1"/>
  <c r="J12" i="1" s="1"/>
  <c r="K12" i="1" s="1"/>
  <c r="A12" i="1"/>
  <c r="G11" i="1"/>
  <c r="J11" i="1" s="1"/>
  <c r="K11" i="1" s="1"/>
  <c r="A11" i="1"/>
  <c r="G10" i="1"/>
  <c r="J10" i="1" s="1"/>
  <c r="K10" i="1" s="1"/>
  <c r="A10" i="1"/>
  <c r="G9" i="1"/>
  <c r="J9" i="1" s="1"/>
  <c r="K9" i="1" s="1"/>
  <c r="A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MGA</author>
  </authors>
  <commentList>
    <comment ref="F8" authorId="0" shapeId="0" xr:uid="{47951F44-D953-4F44-8F3D-0E62AEEB8F4F}">
      <text>
        <r>
          <rPr>
            <sz val="11"/>
            <color theme="1"/>
            <rFont val="Calibri"/>
            <family val="2"/>
            <scheme val="minor"/>
          </rPr>
          <t>Ingrese la fecha real de ingreso del trabajador.</t>
        </r>
      </text>
    </comment>
    <comment ref="H8" authorId="0" shapeId="0" xr:uid="{3E04D895-FDF3-4A45-8189-EEBC56C4D07A}">
      <text>
        <r>
          <rPr>
            <sz val="11"/>
            <color theme="1"/>
            <rFont val="Calibri"/>
            <family val="2"/>
            <scheme val="minor"/>
          </rPr>
          <t>Seleccione el estado actual. Si no está ACTIVO, el archivo excluirá automáticamente al trabajador.</t>
        </r>
      </text>
    </comment>
    <comment ref="I8" authorId="0" shapeId="0" xr:uid="{220FC2B5-7DD0-40D7-A1F8-F9226088D544}">
      <text>
        <r>
          <rPr>
            <sz val="11"/>
            <color theme="1"/>
            <rFont val="Calibri"/>
            <family val="2"/>
            <scheme val="minor"/>
          </rPr>
          <t>Esta clasificación define si el cuestionario es Tipo A o Tipo B.</t>
        </r>
      </text>
    </comment>
  </commentList>
</comments>
</file>

<file path=xl/sharedStrings.xml><?xml version="1.0" encoding="utf-8"?>
<sst xmlns="http://schemas.openxmlformats.org/spreadsheetml/2006/main" count="270" uniqueCount="160">
  <si>
    <t xml:space="preserve">PROCESO DE PRESTACIÓN DE SERVICIOS DE CONSULTORÍA Y CAPACITACIÓN </t>
  </si>
  <si>
    <t>CÓDIGO:</t>
  </si>
  <si>
    <t>PS-P11.F001</t>
  </si>
  <si>
    <t xml:space="preserve">CONTROL DE APLICACIÓN DE LA BATERIA DE RIESGO PSICOSOCIAL  </t>
  </si>
  <si>
    <t>VERSIÓN:</t>
  </si>
  <si>
    <t xml:space="preserve">Fecha de actualización: </t>
  </si>
  <si>
    <t xml:space="preserve">Nombre de la Empresa: </t>
  </si>
  <si>
    <t xml:space="preserve">DIAGNOSTILAB </t>
  </si>
  <si>
    <t xml:space="preserve">Nombre del Responsable: </t>
  </si>
  <si>
    <t>LINA FABIOLA CARDENAS GARCÍA</t>
  </si>
  <si>
    <t xml:space="preserve">Cargo: </t>
  </si>
  <si>
    <t>COORDINADORA DE GESTIÓN HUMANA</t>
  </si>
  <si>
    <t>Diligencie únicamente las columnas de entrada. El archivo calcula automáticamente antigüedad, aplicación, tipo de cuestionario y resumen comercial.</t>
  </si>
  <si>
    <t>ÍTEM</t>
  </si>
  <si>
    <t>NOMBRES Y APELLIDOS</t>
  </si>
  <si>
    <t>IDENTIFICACIÓN</t>
  </si>
  <si>
    <t>ÁREA / CENTRO DE TRABAJO</t>
  </si>
  <si>
    <t>CARGO</t>
  </si>
  <si>
    <t>FECHA DE INGRESO</t>
  </si>
  <si>
    <t>MESES DE ANTIGÜEDAD
(AUTO)</t>
  </si>
  <si>
    <t>ESTADO ACTUAL</t>
  </si>
  <si>
    <t>NIVEL OCUPACIONAL / CLASIFICACIÓN</t>
  </si>
  <si>
    <t>APLICA BATERÍA
(AUTO)</t>
  </si>
  <si>
    <t>TIPO DE CUESTIONARIO
(AUTO)</t>
  </si>
  <si>
    <t>OBSERVACIONES</t>
  </si>
  <si>
    <t>ALEMAN ORTIZ LEIDY BEATRIZ</t>
  </si>
  <si>
    <t>1102870739</t>
  </si>
  <si>
    <t>ANALISTA FINANCIERO</t>
  </si>
  <si>
    <t>ACTIVO</t>
  </si>
  <si>
    <t>PROFESIONAL</t>
  </si>
  <si>
    <t>ALMARIO CONTRERAS ELIEC</t>
  </si>
  <si>
    <t>1005660205</t>
  </si>
  <si>
    <t>ASISTENTE DE FACTURACION</t>
  </si>
  <si>
    <t>TÉCNICO / TECNÓLOGO CON AUTONOMÍA</t>
  </si>
  <si>
    <t>ARCIA TEJADA LAURA VANESSA</t>
  </si>
  <si>
    <t>1069463747</t>
  </si>
  <si>
    <t>ATENCIA CAMARGO LARRY HAROLD</t>
  </si>
  <si>
    <t>1102867563</t>
  </si>
  <si>
    <t>TECNICO DE SOPORTE</t>
  </si>
  <si>
    <t>AUXILIAR / OPERATIVO / ASISTENCIAL</t>
  </si>
  <si>
    <t>AVILEZ BENITEZ ESTEBAN</t>
  </si>
  <si>
    <t>1005576232</t>
  </si>
  <si>
    <t>ANALISTA DE IMPORTACIONES</t>
  </si>
  <si>
    <t>BADEL TUIRAN MARIA SILVIA</t>
  </si>
  <si>
    <t>1103108545</t>
  </si>
  <si>
    <t>DIRECTOR COMERCIAL</t>
  </si>
  <si>
    <t>DIRECTIVO / JEFATURA / COORDINACIÓN</t>
  </si>
  <si>
    <t>BARBOZA CARRASCAL OSCAR LUIS</t>
  </si>
  <si>
    <t>92558141</t>
  </si>
  <si>
    <t>ASESOR COMERCIAL.</t>
  </si>
  <si>
    <t>BAUTISTA CONTRERAS MARIA DANIELA</t>
  </si>
  <si>
    <t>1026582982</t>
  </si>
  <si>
    <t>AUXILIAR ADMINISTRATIVO DE  SOPORTE TECNICO</t>
  </si>
  <si>
    <t>BELTRAN MENDEZ LAURA MARCELA</t>
  </si>
  <si>
    <t>1102878248</t>
  </si>
  <si>
    <t>JEFE DE CALIDAD</t>
  </si>
  <si>
    <t>BLANCO ROMERO ALVARO JAVIER</t>
  </si>
  <si>
    <t>1005567563</t>
  </si>
  <si>
    <t xml:space="preserve">AUXILIAR DE CONTRATACION </t>
  </si>
  <si>
    <t>CARDENAS GARCIA LINA FABIOLA</t>
  </si>
  <si>
    <t>1102836422</t>
  </si>
  <si>
    <t>COORDINADOR DE GESTION HUMANA</t>
  </si>
  <si>
    <t>CHARRASQUIEL RAMIREZ GUSTAVO ANDRES</t>
  </si>
  <si>
    <t>1102837233</t>
  </si>
  <si>
    <t>AUXILIAR DE ALMACEN Y DESPACHOS</t>
  </si>
  <si>
    <t>DORIA SUAREZ OMAR ENRIQUE</t>
  </si>
  <si>
    <t>1143343865</t>
  </si>
  <si>
    <t>GALINDO SEGUANES ROMAIRO JOSE</t>
  </si>
  <si>
    <t>1102879243</t>
  </si>
  <si>
    <t xml:space="preserve"> TECNICO SOPORTE</t>
  </si>
  <si>
    <t>GARCIA TOVAR ANDRES FELIPE</t>
  </si>
  <si>
    <t>1100622479</t>
  </si>
  <si>
    <t>GARZON THERAN MARIA DEL ROSARIO</t>
  </si>
  <si>
    <t>1101448269</t>
  </si>
  <si>
    <t>GENEY PALACIO XADHER JEAFFET</t>
  </si>
  <si>
    <t>1100693965</t>
  </si>
  <si>
    <t>GONZALEZ BELTRAN OSWALDO JOSE</t>
  </si>
  <si>
    <t>92530406</t>
  </si>
  <si>
    <t>CONDUCTOR-REPARTIDOR- MENSAJERO 1</t>
  </si>
  <si>
    <t>GONZALEZ CAMPO LOURDES MARGARITA</t>
  </si>
  <si>
    <t>23178969</t>
  </si>
  <si>
    <t>JEFE DE COMPRAS E IMPORTACIONES</t>
  </si>
  <si>
    <t>GONZALEZ PALENCIA JUAN CARLOS</t>
  </si>
  <si>
    <t>92529039</t>
  </si>
  <si>
    <t>CONDUCTOR- REPARTIDOR - MENSAJERO 2</t>
  </si>
  <si>
    <t>HERNANDEZ DIAZ DEIVIS DANIEL</t>
  </si>
  <si>
    <t>1102869563</t>
  </si>
  <si>
    <t>JASSAN CAMPUZANO YENICE DEL CARMEN</t>
  </si>
  <si>
    <t>1102834884</t>
  </si>
  <si>
    <t>ASESOR COMERCIAL ONLINE</t>
  </si>
  <si>
    <t>LICENCIA EXTENDIDA</t>
  </si>
  <si>
    <t>JIMENEZ OVIEDO ANA LUISA</t>
  </si>
  <si>
    <t>1047367781</t>
  </si>
  <si>
    <t>ASESOR CIENTIFICO</t>
  </si>
  <si>
    <t>KERGUELEN SIBAJA JUAN DAVID</t>
  </si>
  <si>
    <t>10781542</t>
  </si>
  <si>
    <t>MARTINEZ JIMENEZ VALENTINA</t>
  </si>
  <si>
    <t>64702121</t>
  </si>
  <si>
    <t>MARTINEZ TUIRAN ALEX DAVID</t>
  </si>
  <si>
    <t>1131110719</t>
  </si>
  <si>
    <t>MELENDEZ ACOSTA CARLOS ALBERTO</t>
  </si>
  <si>
    <t>1064996296</t>
  </si>
  <si>
    <t>MENDOZA PEREZ LUIS ALBERTO</t>
  </si>
  <si>
    <t>1102876550</t>
  </si>
  <si>
    <t>MERCADO MARTINEZ ELOY RICARDO</t>
  </si>
  <si>
    <t>1100394028</t>
  </si>
  <si>
    <t>MERCADO MENDEZ NILFI ROSA</t>
  </si>
  <si>
    <t>64577210</t>
  </si>
  <si>
    <t>AUXILIAR SERVICIOS GENERALES</t>
  </si>
  <si>
    <t>MONTERROSA NARVAEZ JORGE IVAN</t>
  </si>
  <si>
    <t>1017137429</t>
  </si>
  <si>
    <t>MONTES HERNANDEZ VIVIANA PATRICIA</t>
  </si>
  <si>
    <t>64717679</t>
  </si>
  <si>
    <t xml:space="preserve">GERENTE </t>
  </si>
  <si>
    <t>NAVARRO BLANCO ELKIN ENRIQUE</t>
  </si>
  <si>
    <t>1042998601</t>
  </si>
  <si>
    <t>NOREÑA GRANADOS CARLOS ANDRES</t>
  </si>
  <si>
    <t>1065633982</t>
  </si>
  <si>
    <t>COORDINADOR DE SOPORTE TECNICO</t>
  </si>
  <si>
    <t>OCHOA TUIRAN MARIO ESTEBAN</t>
  </si>
  <si>
    <t>1192757189</t>
  </si>
  <si>
    <t>AUXILIAR DE FACTURACION</t>
  </si>
  <si>
    <t>PACHECO MORELO EDUARDO JOSE</t>
  </si>
  <si>
    <t>1007611806</t>
  </si>
  <si>
    <t>ASISTENTE CONTABLE</t>
  </si>
  <si>
    <t>PEREZ VILLALBA DALMIRO JUNIOR</t>
  </si>
  <si>
    <t>1005569929</t>
  </si>
  <si>
    <t xml:space="preserve">AUXILIAR CONTABLE </t>
  </si>
  <si>
    <t>PERTUZ CORTINA ANA MILENA</t>
  </si>
  <si>
    <t>1108765279</t>
  </si>
  <si>
    <t>AUXILIAR DE COTIZACIONES</t>
  </si>
  <si>
    <t>PICO QUIROZ CAMILO ALBERTO</t>
  </si>
  <si>
    <t>1005583956</t>
  </si>
  <si>
    <t>AUXILIAR DE REGISTRO Y CONTROL DE INVENTARIOS</t>
  </si>
  <si>
    <t>RAMBAUTH HERNANDEZ LEOBARDO ENRIQUE</t>
  </si>
  <si>
    <t>92556133</t>
  </si>
  <si>
    <t>RICO BASTIDAS BANYS EDITH</t>
  </si>
  <si>
    <t>1094247341</t>
  </si>
  <si>
    <t>DIRECTOR DE OPERACIONES Y  SERVICIOS</t>
  </si>
  <si>
    <t>RIPOLL JIMENEZ JOELLA ENITH</t>
  </si>
  <si>
    <t>32939032</t>
  </si>
  <si>
    <t>COORDINADOR CIENTIFICO</t>
  </si>
  <si>
    <t>ROQUEME CARVAJA LAIFER ANTONIO</t>
  </si>
  <si>
    <t>1005416238</t>
  </si>
  <si>
    <t>AUXILIAR ADNMINISTRATIVO DE ASESORIA CIENTIFICA</t>
  </si>
  <si>
    <t>SALAZAR MURILLO MARIA DE LOS ANGELES</t>
  </si>
  <si>
    <t>1102890279</t>
  </si>
  <si>
    <t>TORRES MENDOZA SOBEIDA</t>
  </si>
  <si>
    <t>64523544</t>
  </si>
  <si>
    <t>ASISTENTE DE TESORARIA Y CARTERA</t>
  </si>
  <si>
    <t>VENECIA BERTEL NATALIA ANDREA</t>
  </si>
  <si>
    <t>1005663762</t>
  </si>
  <si>
    <t>VERGARA MARTINEZ SONIA ELVIRA</t>
  </si>
  <si>
    <t>23178985</t>
  </si>
  <si>
    <t xml:space="preserve">CONTADOR                                          </t>
  </si>
  <si>
    <t>ZAPATA HERNANDEZ IVAN MANUEL</t>
  </si>
  <si>
    <t>1005474619</t>
  </si>
  <si>
    <t>ZAPATA PEÑALOZA SANDRA MIREYA</t>
  </si>
  <si>
    <t>1093748124</t>
  </si>
  <si>
    <t>DIRECTOR TECNICO DE REACTIVOS IVD Y DISPOSITIVOS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</si>
</sst>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E7E6E6"/>
      </patternFill>
    </fill>
    <fill>
      <patternFill patternType="solid">
        <fgColor rgb="FFEAF2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14" fontId="7" fillId="5" borderId="3" xfId="0" applyNumberFormat="1" applyFont="1" applyFill="1" applyBorder="1" applyAlignment="1">
      <alignment vertical="center" wrapText="1"/>
    </xf>
    <xf numFmtId="1" fontId="6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467651</xdr:colOff>
          <xdr:row>0</xdr:row>
          <xdr:rowOff>284842</xdr:rowOff>
        </xdr:from>
        <xdr:to>
          <xdr:col>1</xdr:col>
          <xdr:colOff>1527868</xdr:colOff>
          <xdr:row>2</xdr:row>
          <xdr:rowOff>161806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0504809D-9BC4-4348-A306-455C10C8518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[1]base de datos '!$B$2:$C$2" spid="_x0000_s1028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l="9641" t="11910" r="10217" b="7416"/>
            <a:stretch>
              <a:fillRect/>
            </a:stretch>
          </xdr:blipFill>
          <xdr:spPr>
            <a:xfrm>
              <a:off x="467651" y="284842"/>
              <a:ext cx="1593617" cy="715164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7</xdr:col>
      <xdr:colOff>190500</xdr:colOff>
      <xdr:row>47</xdr:row>
      <xdr:rowOff>133350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BB9DE7F2-760A-4A97-884D-39786DEF44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10750" cy="17592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190500</xdr:colOff>
      <xdr:row>47</xdr:row>
      <xdr:rowOff>323850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48EC89B9-CFFD-4DBC-B798-11C232F3C4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10750" cy="1778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190500</xdr:colOff>
      <xdr:row>47</xdr:row>
      <xdr:rowOff>323850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75DBF5D1-6E7B-44D2-A398-4ABDACB9F0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10750" cy="1778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190500</xdr:colOff>
      <xdr:row>47</xdr:row>
      <xdr:rowOff>323850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ED121E09-FF23-493C-8981-2E27A82229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10750" cy="17783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50.%20SIG%20MGA/1.%20Dise&#241;o%20y%20Desarrollo%20del%20SGI%20MGA/5.%20Dise&#241;o%20SIG%20MGA/PS%20-%20Prestacion%20de%20Servicios/PS%20-%20Listado%20Maestro%20de%20Documentos%20MGA%20%20.xlsx" TargetMode="External"/><Relationship Id="rId2" Type="http://schemas.openxmlformats.org/officeDocument/2006/relationships/externalLinkPath" Target="file:///C:\Users\MAR&#205;A%20GONZ&#193;LEZ%20AYUZ\SynologyDrive\MGA%20CENTRAL\50.%20SIG%20MGA\1.%20Dise&#241;o%20y%20Desarrollo%20del%20SGI%20MGA\5.%20Dise&#241;o%20SIG%20MGA\PS%20-%20Prestacion%20de%20Servicios\PS%20-%20Listado%20Maestro%20de%20Documentos%20MGA%20%20.xlsx" TargetMode="External"/><Relationship Id="rId1" Type="http://schemas.openxmlformats.org/officeDocument/2006/relationships/externalLinkPath" Target="/Users/MAR&#205;A%20GONZ&#193;LEZ%20AYUZ/SynologyDrive/MGA%20CENTRAL/50.%20SIG%20MGA/1.%20Dise&#241;o%20y%20Desarrollo%20del%20SGI%20MGA/5.%20Dise&#241;o%20SIG%20MGA/PS%20-%20Prestacion%20de%20Servicios/PS%20-%20Listado%20Maestro%20de%20Documentos%20MGA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de datos "/>
      <sheetName val="GI-P01.F001"/>
      <sheetName val="GI-P01.F002"/>
      <sheetName val="GI-P01.F003"/>
      <sheetName val="GI-P01.F004"/>
      <sheetName val="Hoja1"/>
      <sheetName val="FOR-094 V.0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DA28-D253-44E7-858B-1030BE45BE61}">
  <dimension ref="A1:L57"/>
  <sheetViews>
    <sheetView showGridLines="0" tabSelected="1" view="pageBreakPreview" zoomScaleNormal="100" zoomScaleSheetLayoutView="100" workbookViewId="0">
      <selection activeCell="A8" sqref="A8"/>
    </sheetView>
  </sheetViews>
  <sheetFormatPr baseColWidth="10" defaultColWidth="9.140625" defaultRowHeight="15" x14ac:dyDescent="0.25"/>
  <cols>
    <col min="1" max="1" width="8" style="3" customWidth="1"/>
    <col min="2" max="2" width="28" style="3" customWidth="1"/>
    <col min="3" max="3" width="18" style="3" customWidth="1"/>
    <col min="4" max="4" width="24" style="3" customWidth="1"/>
    <col min="5" max="5" width="32" style="3" customWidth="1"/>
    <col min="6" max="6" width="16" style="3" customWidth="1"/>
    <col min="7" max="7" width="18.28515625" style="3" customWidth="1"/>
    <col min="8" max="8" width="20" style="3" customWidth="1"/>
    <col min="9" max="9" width="33" style="3" customWidth="1"/>
    <col min="10" max="10" width="17" style="3" customWidth="1"/>
    <col min="11" max="11" width="26.42578125" style="3" customWidth="1"/>
    <col min="12" max="12" width="28" style="3" customWidth="1"/>
    <col min="13" max="16384" width="9.140625" style="3"/>
  </cols>
  <sheetData>
    <row r="1" spans="1:12" ht="33" customHeight="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 t="s">
        <v>1</v>
      </c>
      <c r="L1" s="2" t="s">
        <v>2</v>
      </c>
    </row>
    <row r="2" spans="1:12" ht="33" customHeight="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3" customHeight="1" x14ac:dyDescent="0.25">
      <c r="A3" s="1"/>
      <c r="B3" s="1"/>
      <c r="C3" s="2" t="s">
        <v>3</v>
      </c>
      <c r="D3" s="2"/>
      <c r="E3" s="2"/>
      <c r="F3" s="2"/>
      <c r="G3" s="2"/>
      <c r="H3" s="2"/>
      <c r="I3" s="2"/>
      <c r="J3" s="2"/>
      <c r="K3" s="4" t="s">
        <v>4</v>
      </c>
      <c r="L3" s="4">
        <v>3</v>
      </c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</row>
    <row r="5" spans="1:12" x14ac:dyDescent="0.25">
      <c r="A5" s="6" t="s">
        <v>5</v>
      </c>
      <c r="B5" s="6"/>
      <c r="C5" s="7">
        <v>46098</v>
      </c>
      <c r="D5" s="8"/>
      <c r="E5" s="8"/>
      <c r="F5" s="8"/>
      <c r="G5" s="8"/>
      <c r="H5" s="8"/>
      <c r="I5" s="8"/>
    </row>
    <row r="6" spans="1:12" ht="25.5" customHeight="1" x14ac:dyDescent="0.25">
      <c r="A6" s="2" t="s">
        <v>6</v>
      </c>
      <c r="B6" s="2"/>
      <c r="C6" s="9" t="s">
        <v>7</v>
      </c>
      <c r="D6" s="9"/>
      <c r="E6" s="9"/>
      <c r="F6" s="10" t="s">
        <v>8</v>
      </c>
      <c r="G6" s="10"/>
      <c r="H6" s="9" t="s">
        <v>9</v>
      </c>
      <c r="I6" s="9"/>
      <c r="J6" s="4" t="s">
        <v>10</v>
      </c>
      <c r="K6" s="9" t="s">
        <v>11</v>
      </c>
      <c r="L6" s="9"/>
    </row>
    <row r="7" spans="1:12" ht="20.100000000000001" customHeight="1" thickBot="1" x14ac:dyDescent="0.3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45.75" customHeight="1" thickBot="1" x14ac:dyDescent="0.3">
      <c r="A8" s="13" t="s">
        <v>13</v>
      </c>
      <c r="B8" s="13" t="s">
        <v>14</v>
      </c>
      <c r="C8" s="13" t="s">
        <v>15</v>
      </c>
      <c r="D8" s="13" t="s">
        <v>16</v>
      </c>
      <c r="E8" s="13" t="s">
        <v>17</v>
      </c>
      <c r="F8" s="13" t="s">
        <v>18</v>
      </c>
      <c r="G8" s="13" t="s">
        <v>19</v>
      </c>
      <c r="H8" s="13" t="s">
        <v>20</v>
      </c>
      <c r="I8" s="13" t="s">
        <v>21</v>
      </c>
      <c r="J8" s="13" t="s">
        <v>22</v>
      </c>
      <c r="K8" s="13" t="s">
        <v>23</v>
      </c>
      <c r="L8" s="13" t="s">
        <v>24</v>
      </c>
    </row>
    <row r="9" spans="1:12" x14ac:dyDescent="0.25">
      <c r="A9" s="14">
        <f>ROW()-8</f>
        <v>1</v>
      </c>
      <c r="B9" s="15" t="s">
        <v>25</v>
      </c>
      <c r="C9" s="15" t="s">
        <v>26</v>
      </c>
      <c r="D9" s="15"/>
      <c r="E9" s="15" t="s">
        <v>27</v>
      </c>
      <c r="F9" s="16">
        <v>45447</v>
      </c>
      <c r="G9" s="17">
        <f t="shared" ref="G9:G57" ca="1" si="0">IF(F9="","",(YEAR(TODAY())-YEAR(F9))*12+MONTH(TODAY())-MONTH(F9)-IF(DAY(TODAY())&lt;DAY(F9),1,0))</f>
        <v>22</v>
      </c>
      <c r="H9" s="15" t="s">
        <v>28</v>
      </c>
      <c r="I9" s="15" t="s">
        <v>29</v>
      </c>
      <c r="J9" s="14" t="str">
        <f t="shared" ref="J9:J57" ca="1" si="1">IF(B9="","",IF(H9="","PENDIENTE ESTADO",IF(H9&lt;&gt;"ACTIVO","NO",IF(G9&lt;6,"NO",IF(I9="","PENDIENTE CLASIFICAR","SI")))))</f>
        <v>SI</v>
      </c>
      <c r="K9" s="14" t="str">
        <f t="shared" ref="K9:K57" ca="1" si="2">IF(J9&lt;&gt;"SI","NO APLICA",IF(OR(I9="DIRECTIVO / JEFATURA / COORDINACIÓN",I9="PROFESIONAL",I9="TÉCNICO / TECNÓLOGO CON AUTONOMÍA"),"A","B"))</f>
        <v>A</v>
      </c>
      <c r="L9" s="15"/>
    </row>
    <row r="10" spans="1:12" ht="30" x14ac:dyDescent="0.25">
      <c r="A10" s="14">
        <f t="shared" ref="A10:A57" si="3">ROW()-8</f>
        <v>2</v>
      </c>
      <c r="B10" s="15" t="s">
        <v>30</v>
      </c>
      <c r="C10" s="15" t="s">
        <v>31</v>
      </c>
      <c r="D10" s="15"/>
      <c r="E10" s="15" t="s">
        <v>32</v>
      </c>
      <c r="F10" s="16">
        <v>45028</v>
      </c>
      <c r="G10" s="17">
        <f t="shared" ca="1" si="0"/>
        <v>36</v>
      </c>
      <c r="H10" s="15" t="s">
        <v>28</v>
      </c>
      <c r="I10" s="15" t="s">
        <v>33</v>
      </c>
      <c r="J10" s="14" t="str">
        <f t="shared" ca="1" si="1"/>
        <v>SI</v>
      </c>
      <c r="K10" s="14" t="str">
        <f t="shared" ca="1" si="2"/>
        <v>A</v>
      </c>
      <c r="L10" s="15"/>
    </row>
    <row r="11" spans="1:12" ht="30" x14ac:dyDescent="0.25">
      <c r="A11" s="14">
        <f t="shared" si="3"/>
        <v>3</v>
      </c>
      <c r="B11" s="15" t="s">
        <v>34</v>
      </c>
      <c r="C11" s="15" t="s">
        <v>35</v>
      </c>
      <c r="D11" s="15"/>
      <c r="E11" s="15" t="s">
        <v>27</v>
      </c>
      <c r="F11" s="16">
        <v>46054</v>
      </c>
      <c r="G11" s="17">
        <f t="shared" ca="1" si="0"/>
        <v>2</v>
      </c>
      <c r="H11" s="15" t="s">
        <v>28</v>
      </c>
      <c r="I11" s="15" t="s">
        <v>29</v>
      </c>
      <c r="J11" s="14" t="str">
        <f t="shared" ca="1" si="1"/>
        <v>NO</v>
      </c>
      <c r="K11" s="14" t="str">
        <f t="shared" ca="1" si="2"/>
        <v>NO APLICA</v>
      </c>
      <c r="L11" s="15"/>
    </row>
    <row r="12" spans="1:12" ht="30" x14ac:dyDescent="0.25">
      <c r="A12" s="14">
        <f t="shared" si="3"/>
        <v>4</v>
      </c>
      <c r="B12" s="15" t="s">
        <v>36</v>
      </c>
      <c r="C12" s="15" t="s">
        <v>37</v>
      </c>
      <c r="D12" s="15"/>
      <c r="E12" s="15" t="s">
        <v>38</v>
      </c>
      <c r="F12" s="16">
        <v>45231</v>
      </c>
      <c r="G12" s="17">
        <f t="shared" ca="1" si="0"/>
        <v>29</v>
      </c>
      <c r="H12" s="15" t="s">
        <v>28</v>
      </c>
      <c r="I12" s="15" t="s">
        <v>39</v>
      </c>
      <c r="J12" s="14" t="str">
        <f t="shared" ca="1" si="1"/>
        <v>SI</v>
      </c>
      <c r="K12" s="14" t="str">
        <f t="shared" ca="1" si="2"/>
        <v>B</v>
      </c>
      <c r="L12" s="15"/>
    </row>
    <row r="13" spans="1:12" x14ac:dyDescent="0.25">
      <c r="A13" s="14">
        <f t="shared" si="3"/>
        <v>5</v>
      </c>
      <c r="B13" s="15" t="s">
        <v>40</v>
      </c>
      <c r="C13" s="15" t="s">
        <v>41</v>
      </c>
      <c r="D13" s="15"/>
      <c r="E13" s="15" t="s">
        <v>42</v>
      </c>
      <c r="F13" s="16">
        <v>45310</v>
      </c>
      <c r="G13" s="17">
        <f t="shared" ca="1" si="0"/>
        <v>27</v>
      </c>
      <c r="H13" s="15" t="s">
        <v>28</v>
      </c>
      <c r="I13" s="15" t="s">
        <v>29</v>
      </c>
      <c r="J13" s="14" t="str">
        <f t="shared" ca="1" si="1"/>
        <v>SI</v>
      </c>
      <c r="K13" s="14" t="str">
        <f t="shared" ca="1" si="2"/>
        <v>A</v>
      </c>
      <c r="L13" s="15"/>
    </row>
    <row r="14" spans="1:12" ht="30" x14ac:dyDescent="0.25">
      <c r="A14" s="14">
        <f t="shared" si="3"/>
        <v>6</v>
      </c>
      <c r="B14" s="15" t="s">
        <v>43</v>
      </c>
      <c r="C14" s="15" t="s">
        <v>44</v>
      </c>
      <c r="D14" s="15"/>
      <c r="E14" s="15" t="s">
        <v>45</v>
      </c>
      <c r="F14" s="16">
        <v>45048</v>
      </c>
      <c r="G14" s="17">
        <f t="shared" ca="1" si="0"/>
        <v>35</v>
      </c>
      <c r="H14" s="15" t="s">
        <v>28</v>
      </c>
      <c r="I14" s="15" t="s">
        <v>46</v>
      </c>
      <c r="J14" s="14" t="str">
        <f t="shared" ca="1" si="1"/>
        <v>SI</v>
      </c>
      <c r="K14" s="14" t="str">
        <f t="shared" ca="1" si="2"/>
        <v>A</v>
      </c>
      <c r="L14" s="15"/>
    </row>
    <row r="15" spans="1:12" ht="30" x14ac:dyDescent="0.25">
      <c r="A15" s="14">
        <f t="shared" si="3"/>
        <v>7</v>
      </c>
      <c r="B15" s="15" t="s">
        <v>47</v>
      </c>
      <c r="C15" s="15" t="s">
        <v>48</v>
      </c>
      <c r="D15" s="15"/>
      <c r="E15" s="15" t="s">
        <v>49</v>
      </c>
      <c r="F15" s="16">
        <v>44927</v>
      </c>
      <c r="G15" s="17">
        <f t="shared" ca="1" si="0"/>
        <v>39</v>
      </c>
      <c r="H15" s="15" t="s">
        <v>28</v>
      </c>
      <c r="I15" s="15" t="s">
        <v>33</v>
      </c>
      <c r="J15" s="14" t="str">
        <f t="shared" ca="1" si="1"/>
        <v>SI</v>
      </c>
      <c r="K15" s="14" t="str">
        <f t="shared" ca="1" si="2"/>
        <v>A</v>
      </c>
      <c r="L15" s="15"/>
    </row>
    <row r="16" spans="1:12" ht="30" x14ac:dyDescent="0.25">
      <c r="A16" s="14">
        <f t="shared" si="3"/>
        <v>8</v>
      </c>
      <c r="B16" s="15" t="s">
        <v>50</v>
      </c>
      <c r="C16" s="15" t="s">
        <v>51</v>
      </c>
      <c r="D16" s="15"/>
      <c r="E16" s="15" t="s">
        <v>52</v>
      </c>
      <c r="F16" s="16">
        <v>44442</v>
      </c>
      <c r="G16" s="17">
        <f t="shared" ca="1" si="0"/>
        <v>55</v>
      </c>
      <c r="H16" s="15" t="s">
        <v>28</v>
      </c>
      <c r="I16" s="15" t="s">
        <v>33</v>
      </c>
      <c r="J16" s="14" t="str">
        <f t="shared" ca="1" si="1"/>
        <v>SI</v>
      </c>
      <c r="K16" s="14" t="str">
        <f t="shared" ca="1" si="2"/>
        <v>A</v>
      </c>
      <c r="L16" s="15"/>
    </row>
    <row r="17" spans="1:12" ht="30" x14ac:dyDescent="0.25">
      <c r="A17" s="14">
        <f t="shared" si="3"/>
        <v>9</v>
      </c>
      <c r="B17" s="15" t="s">
        <v>53</v>
      </c>
      <c r="C17" s="15" t="s">
        <v>54</v>
      </c>
      <c r="D17" s="15"/>
      <c r="E17" s="15" t="s">
        <v>55</v>
      </c>
      <c r="F17" s="16">
        <v>44652</v>
      </c>
      <c r="G17" s="17">
        <f t="shared" ca="1" si="0"/>
        <v>48</v>
      </c>
      <c r="H17" s="15" t="s">
        <v>28</v>
      </c>
      <c r="I17" s="15" t="s">
        <v>29</v>
      </c>
      <c r="J17" s="14" t="str">
        <f t="shared" ca="1" si="1"/>
        <v>SI</v>
      </c>
      <c r="K17" s="14" t="str">
        <f t="shared" ca="1" si="2"/>
        <v>A</v>
      </c>
      <c r="L17" s="15"/>
    </row>
    <row r="18" spans="1:12" ht="30" x14ac:dyDescent="0.25">
      <c r="A18" s="14">
        <f t="shared" si="3"/>
        <v>10</v>
      </c>
      <c r="B18" s="15" t="s">
        <v>56</v>
      </c>
      <c r="C18" s="15" t="s">
        <v>57</v>
      </c>
      <c r="D18" s="15"/>
      <c r="E18" s="15" t="s">
        <v>58</v>
      </c>
      <c r="F18" s="16">
        <v>45847</v>
      </c>
      <c r="G18" s="17">
        <f t="shared" ca="1" si="0"/>
        <v>9</v>
      </c>
      <c r="H18" s="15" t="s">
        <v>28</v>
      </c>
      <c r="I18" s="15" t="s">
        <v>33</v>
      </c>
      <c r="J18" s="14" t="str">
        <f t="shared" ca="1" si="1"/>
        <v>SI</v>
      </c>
      <c r="K18" s="14" t="str">
        <f t="shared" ca="1" si="2"/>
        <v>A</v>
      </c>
      <c r="L18" s="15"/>
    </row>
    <row r="19" spans="1:12" ht="30" x14ac:dyDescent="0.25">
      <c r="A19" s="14">
        <f t="shared" si="3"/>
        <v>11</v>
      </c>
      <c r="B19" s="15" t="s">
        <v>59</v>
      </c>
      <c r="C19" s="15" t="s">
        <v>60</v>
      </c>
      <c r="D19" s="15"/>
      <c r="E19" s="15" t="s">
        <v>61</v>
      </c>
      <c r="F19" s="16">
        <v>45231</v>
      </c>
      <c r="G19" s="17">
        <f t="shared" ca="1" si="0"/>
        <v>29</v>
      </c>
      <c r="H19" s="15" t="s">
        <v>28</v>
      </c>
      <c r="I19" s="15" t="s">
        <v>46</v>
      </c>
      <c r="J19" s="14" t="str">
        <f t="shared" ca="1" si="1"/>
        <v>SI</v>
      </c>
      <c r="K19" s="14" t="str">
        <f t="shared" ca="1" si="2"/>
        <v>A</v>
      </c>
      <c r="L19" s="15"/>
    </row>
    <row r="20" spans="1:12" ht="30" x14ac:dyDescent="0.25">
      <c r="A20" s="14">
        <f t="shared" si="3"/>
        <v>12</v>
      </c>
      <c r="B20" s="15" t="s">
        <v>62</v>
      </c>
      <c r="C20" s="15" t="s">
        <v>63</v>
      </c>
      <c r="D20" s="15"/>
      <c r="E20" s="15" t="s">
        <v>64</v>
      </c>
      <c r="F20" s="16">
        <v>44927</v>
      </c>
      <c r="G20" s="17">
        <f t="shared" ca="1" si="0"/>
        <v>39</v>
      </c>
      <c r="H20" s="15" t="s">
        <v>28</v>
      </c>
      <c r="I20" s="15" t="s">
        <v>39</v>
      </c>
      <c r="J20" s="14" t="str">
        <f t="shared" ca="1" si="1"/>
        <v>SI</v>
      </c>
      <c r="K20" s="14" t="str">
        <f t="shared" ca="1" si="2"/>
        <v>B</v>
      </c>
      <c r="L20" s="15"/>
    </row>
    <row r="21" spans="1:12" ht="30" x14ac:dyDescent="0.25">
      <c r="A21" s="14">
        <f t="shared" si="3"/>
        <v>13</v>
      </c>
      <c r="B21" s="15" t="s">
        <v>65</v>
      </c>
      <c r="C21" s="15" t="s">
        <v>66</v>
      </c>
      <c r="D21" s="15"/>
      <c r="E21" s="15" t="s">
        <v>38</v>
      </c>
      <c r="F21" s="16">
        <v>44774</v>
      </c>
      <c r="G21" s="17">
        <f t="shared" ca="1" si="0"/>
        <v>44</v>
      </c>
      <c r="H21" s="15" t="s">
        <v>28</v>
      </c>
      <c r="I21" s="15" t="s">
        <v>39</v>
      </c>
      <c r="J21" s="14" t="str">
        <f t="shared" ca="1" si="1"/>
        <v>SI</v>
      </c>
      <c r="K21" s="14" t="str">
        <f t="shared" ca="1" si="2"/>
        <v>B</v>
      </c>
      <c r="L21" s="15"/>
    </row>
    <row r="22" spans="1:12" ht="30" x14ac:dyDescent="0.25">
      <c r="A22" s="14">
        <f t="shared" si="3"/>
        <v>14</v>
      </c>
      <c r="B22" s="15" t="s">
        <v>67</v>
      </c>
      <c r="C22" s="15" t="s">
        <v>68</v>
      </c>
      <c r="D22" s="15"/>
      <c r="E22" s="15" t="s">
        <v>69</v>
      </c>
      <c r="F22" s="16">
        <v>45048</v>
      </c>
      <c r="G22" s="17">
        <f t="shared" ca="1" si="0"/>
        <v>35</v>
      </c>
      <c r="H22" s="15" t="s">
        <v>28</v>
      </c>
      <c r="I22" s="15" t="s">
        <v>39</v>
      </c>
      <c r="J22" s="14" t="str">
        <f t="shared" ca="1" si="1"/>
        <v>SI</v>
      </c>
      <c r="K22" s="14" t="str">
        <f t="shared" ca="1" si="2"/>
        <v>B</v>
      </c>
      <c r="L22" s="15"/>
    </row>
    <row r="23" spans="1:12" ht="30" x14ac:dyDescent="0.25">
      <c r="A23" s="14">
        <f t="shared" si="3"/>
        <v>15</v>
      </c>
      <c r="B23" s="15" t="s">
        <v>70</v>
      </c>
      <c r="C23" s="15" t="s">
        <v>71</v>
      </c>
      <c r="D23" s="15"/>
      <c r="E23" s="15" t="s">
        <v>64</v>
      </c>
      <c r="F23" s="16">
        <v>45888</v>
      </c>
      <c r="G23" s="17">
        <f t="shared" ca="1" si="0"/>
        <v>8</v>
      </c>
      <c r="H23" s="15" t="s">
        <v>28</v>
      </c>
      <c r="I23" s="15" t="s">
        <v>39</v>
      </c>
      <c r="J23" s="14" t="str">
        <f t="shared" ca="1" si="1"/>
        <v>SI</v>
      </c>
      <c r="K23" s="14" t="str">
        <f t="shared" ca="1" si="2"/>
        <v>B</v>
      </c>
      <c r="L23" s="15"/>
    </row>
    <row r="24" spans="1:12" ht="30" x14ac:dyDescent="0.25">
      <c r="A24" s="14">
        <f t="shared" si="3"/>
        <v>16</v>
      </c>
      <c r="B24" s="15" t="s">
        <v>72</v>
      </c>
      <c r="C24" s="15" t="s">
        <v>73</v>
      </c>
      <c r="D24" s="15"/>
      <c r="E24" s="15" t="s">
        <v>49</v>
      </c>
      <c r="F24" s="16">
        <v>45222</v>
      </c>
      <c r="G24" s="17">
        <f t="shared" ca="1" si="0"/>
        <v>29</v>
      </c>
      <c r="H24" s="15" t="s">
        <v>28</v>
      </c>
      <c r="I24" s="15" t="s">
        <v>29</v>
      </c>
      <c r="J24" s="14" t="str">
        <f t="shared" ca="1" si="1"/>
        <v>SI</v>
      </c>
      <c r="K24" s="14" t="str">
        <f t="shared" ca="1" si="2"/>
        <v>A</v>
      </c>
      <c r="L24" s="15"/>
    </row>
    <row r="25" spans="1:12" ht="30" x14ac:dyDescent="0.25">
      <c r="A25" s="14">
        <f t="shared" si="3"/>
        <v>17</v>
      </c>
      <c r="B25" s="15" t="s">
        <v>74</v>
      </c>
      <c r="C25" s="15" t="s">
        <v>75</v>
      </c>
      <c r="D25" s="15"/>
      <c r="E25" s="15" t="s">
        <v>64</v>
      </c>
      <c r="F25" s="16">
        <v>45124</v>
      </c>
      <c r="G25" s="17">
        <f t="shared" ca="1" si="0"/>
        <v>33</v>
      </c>
      <c r="H25" s="15" t="s">
        <v>28</v>
      </c>
      <c r="I25" s="15" t="s">
        <v>39</v>
      </c>
      <c r="J25" s="14" t="str">
        <f t="shared" ca="1" si="1"/>
        <v>SI</v>
      </c>
      <c r="K25" s="14" t="str">
        <f t="shared" ca="1" si="2"/>
        <v>B</v>
      </c>
      <c r="L25" s="15"/>
    </row>
    <row r="26" spans="1:12" ht="30" x14ac:dyDescent="0.25">
      <c r="A26" s="14">
        <f t="shared" si="3"/>
        <v>18</v>
      </c>
      <c r="B26" s="15" t="s">
        <v>76</v>
      </c>
      <c r="C26" s="15" t="s">
        <v>77</v>
      </c>
      <c r="D26" s="15"/>
      <c r="E26" s="15" t="s">
        <v>78</v>
      </c>
      <c r="F26" s="16">
        <v>44927</v>
      </c>
      <c r="G26" s="17">
        <f t="shared" ca="1" si="0"/>
        <v>39</v>
      </c>
      <c r="H26" s="15" t="s">
        <v>28</v>
      </c>
      <c r="I26" s="15" t="s">
        <v>39</v>
      </c>
      <c r="J26" s="14" t="str">
        <f t="shared" ca="1" si="1"/>
        <v>SI</v>
      </c>
      <c r="K26" s="14" t="str">
        <f t="shared" ca="1" si="2"/>
        <v>B</v>
      </c>
      <c r="L26" s="15"/>
    </row>
    <row r="27" spans="1:12" ht="30" x14ac:dyDescent="0.25">
      <c r="A27" s="14">
        <f t="shared" si="3"/>
        <v>19</v>
      </c>
      <c r="B27" s="15" t="s">
        <v>79</v>
      </c>
      <c r="C27" s="15" t="s">
        <v>80</v>
      </c>
      <c r="D27" s="15"/>
      <c r="E27" s="15" t="s">
        <v>81</v>
      </c>
      <c r="F27" s="16">
        <v>44927</v>
      </c>
      <c r="G27" s="17">
        <f t="shared" ca="1" si="0"/>
        <v>39</v>
      </c>
      <c r="H27" s="15" t="s">
        <v>28</v>
      </c>
      <c r="I27" s="15" t="s">
        <v>46</v>
      </c>
      <c r="J27" s="14" t="str">
        <f t="shared" ca="1" si="1"/>
        <v>SI</v>
      </c>
      <c r="K27" s="14" t="str">
        <f t="shared" ca="1" si="2"/>
        <v>A</v>
      </c>
      <c r="L27" s="15"/>
    </row>
    <row r="28" spans="1:12" ht="30" x14ac:dyDescent="0.25">
      <c r="A28" s="14">
        <f t="shared" si="3"/>
        <v>20</v>
      </c>
      <c r="B28" s="15" t="s">
        <v>82</v>
      </c>
      <c r="C28" s="15" t="s">
        <v>83</v>
      </c>
      <c r="D28" s="15"/>
      <c r="E28" s="15" t="s">
        <v>84</v>
      </c>
      <c r="F28" s="16">
        <v>45293</v>
      </c>
      <c r="G28" s="17">
        <f t="shared" ca="1" si="0"/>
        <v>27</v>
      </c>
      <c r="H28" s="15" t="s">
        <v>28</v>
      </c>
      <c r="I28" s="15" t="s">
        <v>39</v>
      </c>
      <c r="J28" s="14" t="str">
        <f t="shared" ca="1" si="1"/>
        <v>SI</v>
      </c>
      <c r="K28" s="14" t="str">
        <f t="shared" ca="1" si="2"/>
        <v>B</v>
      </c>
      <c r="L28" s="15"/>
    </row>
    <row r="29" spans="1:12" ht="30" x14ac:dyDescent="0.25">
      <c r="A29" s="14">
        <f t="shared" si="3"/>
        <v>21</v>
      </c>
      <c r="B29" s="15" t="s">
        <v>85</v>
      </c>
      <c r="C29" s="15" t="s">
        <v>86</v>
      </c>
      <c r="D29" s="15"/>
      <c r="E29" s="15" t="s">
        <v>49</v>
      </c>
      <c r="F29" s="16">
        <v>44531</v>
      </c>
      <c r="G29" s="17">
        <f t="shared" ca="1" si="0"/>
        <v>52</v>
      </c>
      <c r="H29" s="15" t="s">
        <v>28</v>
      </c>
      <c r="I29" s="15" t="s">
        <v>39</v>
      </c>
      <c r="J29" s="14" t="str">
        <f t="shared" ca="1" si="1"/>
        <v>SI</v>
      </c>
      <c r="K29" s="14" t="str">
        <f t="shared" ca="1" si="2"/>
        <v>B</v>
      </c>
      <c r="L29" s="15"/>
    </row>
    <row r="30" spans="1:12" ht="30" x14ac:dyDescent="0.25">
      <c r="A30" s="14">
        <f t="shared" si="3"/>
        <v>22</v>
      </c>
      <c r="B30" s="15" t="s">
        <v>87</v>
      </c>
      <c r="C30" s="15" t="s">
        <v>88</v>
      </c>
      <c r="D30" s="15"/>
      <c r="E30" s="15" t="s">
        <v>89</v>
      </c>
      <c r="F30" s="16">
        <v>44655</v>
      </c>
      <c r="G30" s="17">
        <f t="shared" ca="1" si="0"/>
        <v>48</v>
      </c>
      <c r="H30" s="15" t="s">
        <v>90</v>
      </c>
      <c r="I30" s="15" t="s">
        <v>39</v>
      </c>
      <c r="J30" s="14" t="str">
        <f t="shared" si="1"/>
        <v>NO</v>
      </c>
      <c r="K30" s="14" t="str">
        <f t="shared" si="2"/>
        <v>NO APLICA</v>
      </c>
      <c r="L30" s="15"/>
    </row>
    <row r="31" spans="1:12" x14ac:dyDescent="0.25">
      <c r="A31" s="14">
        <f t="shared" si="3"/>
        <v>23</v>
      </c>
      <c r="B31" s="15" t="s">
        <v>91</v>
      </c>
      <c r="C31" s="15" t="s">
        <v>92</v>
      </c>
      <c r="D31" s="15"/>
      <c r="E31" s="15" t="s">
        <v>93</v>
      </c>
      <c r="F31" s="16">
        <v>45271</v>
      </c>
      <c r="G31" s="17">
        <f t="shared" ca="1" si="0"/>
        <v>28</v>
      </c>
      <c r="H31" s="15" t="s">
        <v>28</v>
      </c>
      <c r="I31" s="15" t="s">
        <v>29</v>
      </c>
      <c r="J31" s="14" t="str">
        <f t="shared" ca="1" si="1"/>
        <v>SI</v>
      </c>
      <c r="K31" s="14" t="str">
        <f t="shared" ca="1" si="2"/>
        <v>A</v>
      </c>
      <c r="L31" s="15"/>
    </row>
    <row r="32" spans="1:12" ht="30" x14ac:dyDescent="0.25">
      <c r="A32" s="14">
        <f t="shared" si="3"/>
        <v>24</v>
      </c>
      <c r="B32" s="15" t="s">
        <v>94</v>
      </c>
      <c r="C32" s="15" t="s">
        <v>95</v>
      </c>
      <c r="D32" s="15"/>
      <c r="E32" s="15" t="s">
        <v>93</v>
      </c>
      <c r="F32" s="16">
        <v>44531</v>
      </c>
      <c r="G32" s="17">
        <f t="shared" ca="1" si="0"/>
        <v>52</v>
      </c>
      <c r="H32" s="15" t="s">
        <v>28</v>
      </c>
      <c r="I32" s="15" t="s">
        <v>29</v>
      </c>
      <c r="J32" s="14" t="str">
        <f t="shared" ca="1" si="1"/>
        <v>SI</v>
      </c>
      <c r="K32" s="14" t="str">
        <f t="shared" ca="1" si="2"/>
        <v>A</v>
      </c>
      <c r="L32" s="15"/>
    </row>
    <row r="33" spans="1:12" ht="30" x14ac:dyDescent="0.25">
      <c r="A33" s="14">
        <f t="shared" si="3"/>
        <v>25</v>
      </c>
      <c r="B33" s="15" t="s">
        <v>96</v>
      </c>
      <c r="C33" s="15" t="s">
        <v>97</v>
      </c>
      <c r="D33" s="15"/>
      <c r="E33" s="15" t="s">
        <v>49</v>
      </c>
      <c r="F33" s="16">
        <v>45567</v>
      </c>
      <c r="G33" s="17">
        <f t="shared" ca="1" si="0"/>
        <v>18</v>
      </c>
      <c r="H33" s="15" t="s">
        <v>28</v>
      </c>
      <c r="I33" s="15" t="s">
        <v>29</v>
      </c>
      <c r="J33" s="14" t="str">
        <f t="shared" ca="1" si="1"/>
        <v>SI</v>
      </c>
      <c r="K33" s="14" t="str">
        <f t="shared" ca="1" si="2"/>
        <v>A</v>
      </c>
      <c r="L33" s="15"/>
    </row>
    <row r="34" spans="1:12" ht="30" x14ac:dyDescent="0.25">
      <c r="A34" s="14">
        <f t="shared" si="3"/>
        <v>26</v>
      </c>
      <c r="B34" s="15" t="s">
        <v>98</v>
      </c>
      <c r="C34" s="15" t="s">
        <v>99</v>
      </c>
      <c r="D34" s="15"/>
      <c r="E34" s="15" t="s">
        <v>38</v>
      </c>
      <c r="F34" s="16">
        <v>45915</v>
      </c>
      <c r="G34" s="17">
        <f t="shared" ca="1" si="0"/>
        <v>7</v>
      </c>
      <c r="H34" s="15" t="s">
        <v>28</v>
      </c>
      <c r="I34" s="15" t="s">
        <v>39</v>
      </c>
      <c r="J34" s="14" t="str">
        <f t="shared" ca="1" si="1"/>
        <v>SI</v>
      </c>
      <c r="K34" s="14" t="str">
        <f t="shared" ca="1" si="2"/>
        <v>B</v>
      </c>
      <c r="L34" s="15"/>
    </row>
    <row r="35" spans="1:12" ht="30" x14ac:dyDescent="0.25">
      <c r="A35" s="14">
        <f t="shared" si="3"/>
        <v>27</v>
      </c>
      <c r="B35" s="15" t="s">
        <v>100</v>
      </c>
      <c r="C35" s="15" t="s">
        <v>101</v>
      </c>
      <c r="D35" s="15"/>
      <c r="E35" s="15" t="s">
        <v>93</v>
      </c>
      <c r="F35" s="16">
        <v>45621</v>
      </c>
      <c r="G35" s="17">
        <f t="shared" ca="1" si="0"/>
        <v>16</v>
      </c>
      <c r="H35" s="15" t="s">
        <v>28</v>
      </c>
      <c r="I35" s="15" t="s">
        <v>29</v>
      </c>
      <c r="J35" s="14" t="str">
        <f t="shared" ca="1" si="1"/>
        <v>SI</v>
      </c>
      <c r="K35" s="14" t="str">
        <f t="shared" ca="1" si="2"/>
        <v>A</v>
      </c>
      <c r="L35" s="15"/>
    </row>
    <row r="36" spans="1:12" ht="30" x14ac:dyDescent="0.25">
      <c r="A36" s="14">
        <f t="shared" si="3"/>
        <v>28</v>
      </c>
      <c r="B36" s="15" t="s">
        <v>102</v>
      </c>
      <c r="C36" s="15" t="s">
        <v>103</v>
      </c>
      <c r="D36" s="15"/>
      <c r="E36" s="15" t="s">
        <v>38</v>
      </c>
      <c r="F36" s="16">
        <v>44617</v>
      </c>
      <c r="G36" s="17">
        <f t="shared" ca="1" si="0"/>
        <v>49</v>
      </c>
      <c r="H36" s="15" t="s">
        <v>28</v>
      </c>
      <c r="I36" s="15" t="s">
        <v>39</v>
      </c>
      <c r="J36" s="14" t="str">
        <f t="shared" ca="1" si="1"/>
        <v>SI</v>
      </c>
      <c r="K36" s="14" t="str">
        <f t="shared" ca="1" si="2"/>
        <v>B</v>
      </c>
      <c r="L36" s="15"/>
    </row>
    <row r="37" spans="1:12" ht="30" x14ac:dyDescent="0.25">
      <c r="A37" s="14">
        <f t="shared" si="3"/>
        <v>29</v>
      </c>
      <c r="B37" s="15" t="s">
        <v>104</v>
      </c>
      <c r="C37" s="15" t="s">
        <v>105</v>
      </c>
      <c r="D37" s="15"/>
      <c r="E37" s="15" t="s">
        <v>69</v>
      </c>
      <c r="F37" s="16">
        <v>46024</v>
      </c>
      <c r="G37" s="17">
        <f t="shared" ca="1" si="0"/>
        <v>3</v>
      </c>
      <c r="H37" s="15" t="s">
        <v>28</v>
      </c>
      <c r="I37" s="15" t="s">
        <v>39</v>
      </c>
      <c r="J37" s="14" t="str">
        <f t="shared" ca="1" si="1"/>
        <v>NO</v>
      </c>
      <c r="K37" s="14" t="str">
        <f t="shared" ca="1" si="2"/>
        <v>NO APLICA</v>
      </c>
      <c r="L37" s="15"/>
    </row>
    <row r="38" spans="1:12" ht="30" x14ac:dyDescent="0.25">
      <c r="A38" s="14">
        <f t="shared" si="3"/>
        <v>30</v>
      </c>
      <c r="B38" s="15" t="s">
        <v>106</v>
      </c>
      <c r="C38" s="15" t="s">
        <v>107</v>
      </c>
      <c r="D38" s="15"/>
      <c r="E38" s="15" t="s">
        <v>108</v>
      </c>
      <c r="F38" s="16">
        <v>44927</v>
      </c>
      <c r="G38" s="17">
        <f t="shared" ca="1" si="0"/>
        <v>39</v>
      </c>
      <c r="H38" s="15" t="s">
        <v>28</v>
      </c>
      <c r="I38" s="15" t="s">
        <v>39</v>
      </c>
      <c r="J38" s="14" t="str">
        <f t="shared" ca="1" si="1"/>
        <v>SI</v>
      </c>
      <c r="K38" s="14" t="str">
        <f t="shared" ca="1" si="2"/>
        <v>B</v>
      </c>
      <c r="L38" s="15"/>
    </row>
    <row r="39" spans="1:12" ht="30" x14ac:dyDescent="0.25">
      <c r="A39" s="14">
        <f t="shared" si="3"/>
        <v>31</v>
      </c>
      <c r="B39" s="15" t="s">
        <v>109</v>
      </c>
      <c r="C39" s="15" t="s">
        <v>110</v>
      </c>
      <c r="D39" s="15"/>
      <c r="E39" s="15" t="s">
        <v>93</v>
      </c>
      <c r="F39" s="16">
        <v>45888</v>
      </c>
      <c r="G39" s="17">
        <f t="shared" ca="1" si="0"/>
        <v>8</v>
      </c>
      <c r="H39" s="15" t="s">
        <v>28</v>
      </c>
      <c r="I39" s="15" t="s">
        <v>29</v>
      </c>
      <c r="J39" s="14" t="str">
        <f t="shared" ca="1" si="1"/>
        <v>SI</v>
      </c>
      <c r="K39" s="14" t="str">
        <f t="shared" ca="1" si="2"/>
        <v>A</v>
      </c>
      <c r="L39" s="15"/>
    </row>
    <row r="40" spans="1:12" ht="30" x14ac:dyDescent="0.25">
      <c r="A40" s="14">
        <f t="shared" si="3"/>
        <v>32</v>
      </c>
      <c r="B40" s="15" t="s">
        <v>111</v>
      </c>
      <c r="C40" s="15" t="s">
        <v>112</v>
      </c>
      <c r="D40" s="15"/>
      <c r="E40" s="15" t="s">
        <v>113</v>
      </c>
      <c r="F40" s="16">
        <v>42461</v>
      </c>
      <c r="G40" s="17">
        <f t="shared" ca="1" si="0"/>
        <v>120</v>
      </c>
      <c r="H40" s="15" t="s">
        <v>28</v>
      </c>
      <c r="I40" s="15" t="s">
        <v>46</v>
      </c>
      <c r="J40" s="14" t="str">
        <f t="shared" ca="1" si="1"/>
        <v>SI</v>
      </c>
      <c r="K40" s="14" t="str">
        <f t="shared" ca="1" si="2"/>
        <v>A</v>
      </c>
      <c r="L40" s="15"/>
    </row>
    <row r="41" spans="1:12" ht="30" x14ac:dyDescent="0.25">
      <c r="A41" s="14">
        <f t="shared" si="3"/>
        <v>33</v>
      </c>
      <c r="B41" s="15" t="s">
        <v>114</v>
      </c>
      <c r="C41" s="15" t="s">
        <v>115</v>
      </c>
      <c r="D41" s="15"/>
      <c r="E41" s="15" t="s">
        <v>93</v>
      </c>
      <c r="F41" s="16">
        <v>45271</v>
      </c>
      <c r="G41" s="17">
        <f t="shared" ca="1" si="0"/>
        <v>28</v>
      </c>
      <c r="H41" s="15" t="s">
        <v>28</v>
      </c>
      <c r="I41" s="15" t="s">
        <v>29</v>
      </c>
      <c r="J41" s="14" t="str">
        <f t="shared" ca="1" si="1"/>
        <v>SI</v>
      </c>
      <c r="K41" s="14" t="str">
        <f t="shared" ca="1" si="2"/>
        <v>A</v>
      </c>
      <c r="L41" s="15"/>
    </row>
    <row r="42" spans="1:12" ht="30" x14ac:dyDescent="0.25">
      <c r="A42" s="14">
        <f t="shared" si="3"/>
        <v>34</v>
      </c>
      <c r="B42" s="15" t="s">
        <v>116</v>
      </c>
      <c r="C42" s="15" t="s">
        <v>117</v>
      </c>
      <c r="D42" s="15"/>
      <c r="E42" s="15" t="s">
        <v>118</v>
      </c>
      <c r="F42" s="16">
        <v>44910</v>
      </c>
      <c r="G42" s="17">
        <f t="shared" ca="1" si="0"/>
        <v>40</v>
      </c>
      <c r="H42" s="15" t="s">
        <v>28</v>
      </c>
      <c r="I42" s="15" t="s">
        <v>39</v>
      </c>
      <c r="J42" s="14" t="str">
        <f t="shared" ca="1" si="1"/>
        <v>SI</v>
      </c>
      <c r="K42" s="14" t="str">
        <f t="shared" ca="1" si="2"/>
        <v>B</v>
      </c>
      <c r="L42" s="15"/>
    </row>
    <row r="43" spans="1:12" ht="30" x14ac:dyDescent="0.25">
      <c r="A43" s="14">
        <f t="shared" si="3"/>
        <v>35</v>
      </c>
      <c r="B43" s="15" t="s">
        <v>119</v>
      </c>
      <c r="C43" s="15" t="s">
        <v>120</v>
      </c>
      <c r="D43" s="15"/>
      <c r="E43" s="15" t="s">
        <v>121</v>
      </c>
      <c r="F43" s="16">
        <v>45338</v>
      </c>
      <c r="G43" s="17">
        <f t="shared" ca="1" si="0"/>
        <v>26</v>
      </c>
      <c r="H43" s="15" t="s">
        <v>28</v>
      </c>
      <c r="I43" s="15" t="s">
        <v>39</v>
      </c>
      <c r="J43" s="14" t="str">
        <f t="shared" ca="1" si="1"/>
        <v>SI</v>
      </c>
      <c r="K43" s="14" t="str">
        <f t="shared" ca="1" si="2"/>
        <v>B</v>
      </c>
      <c r="L43" s="15"/>
    </row>
    <row r="44" spans="1:12" ht="30" x14ac:dyDescent="0.25">
      <c r="A44" s="14">
        <f t="shared" si="3"/>
        <v>36</v>
      </c>
      <c r="B44" s="15" t="s">
        <v>122</v>
      </c>
      <c r="C44" s="15" t="s">
        <v>123</v>
      </c>
      <c r="D44" s="15"/>
      <c r="E44" s="15" t="s">
        <v>124</v>
      </c>
      <c r="F44" s="16">
        <v>45839</v>
      </c>
      <c r="G44" s="17">
        <f t="shared" ca="1" si="0"/>
        <v>9</v>
      </c>
      <c r="H44" s="15" t="s">
        <v>28</v>
      </c>
      <c r="I44" s="15" t="s">
        <v>33</v>
      </c>
      <c r="J44" s="14" t="str">
        <f t="shared" ca="1" si="1"/>
        <v>SI</v>
      </c>
      <c r="K44" s="14" t="str">
        <f t="shared" ca="1" si="2"/>
        <v>A</v>
      </c>
      <c r="L44" s="15"/>
    </row>
    <row r="45" spans="1:12" ht="30" x14ac:dyDescent="0.25">
      <c r="A45" s="14">
        <f t="shared" si="3"/>
        <v>37</v>
      </c>
      <c r="B45" s="15" t="s">
        <v>125</v>
      </c>
      <c r="C45" s="15" t="s">
        <v>126</v>
      </c>
      <c r="D45" s="15"/>
      <c r="E45" s="15" t="s">
        <v>127</v>
      </c>
      <c r="F45" s="16">
        <v>45489</v>
      </c>
      <c r="G45" s="17">
        <f t="shared" ca="1" si="0"/>
        <v>21</v>
      </c>
      <c r="H45" s="15" t="s">
        <v>28</v>
      </c>
      <c r="I45" s="15" t="s">
        <v>39</v>
      </c>
      <c r="J45" s="14" t="str">
        <f t="shared" ca="1" si="1"/>
        <v>SI</v>
      </c>
      <c r="K45" s="14" t="str">
        <f t="shared" ca="1" si="2"/>
        <v>B</v>
      </c>
      <c r="L45" s="15"/>
    </row>
    <row r="46" spans="1:12" ht="30" x14ac:dyDescent="0.25">
      <c r="A46" s="14">
        <f t="shared" si="3"/>
        <v>38</v>
      </c>
      <c r="B46" s="15" t="s">
        <v>128</v>
      </c>
      <c r="C46" s="15" t="s">
        <v>129</v>
      </c>
      <c r="D46" s="15"/>
      <c r="E46" s="15" t="s">
        <v>130</v>
      </c>
      <c r="F46" s="16">
        <v>45775</v>
      </c>
      <c r="G46" s="17">
        <f t="shared" ca="1" si="0"/>
        <v>11</v>
      </c>
      <c r="H46" s="15" t="s">
        <v>28</v>
      </c>
      <c r="I46" s="15" t="s">
        <v>39</v>
      </c>
      <c r="J46" s="14" t="str">
        <f t="shared" ca="1" si="1"/>
        <v>SI</v>
      </c>
      <c r="K46" s="14" t="str">
        <f t="shared" ca="1" si="2"/>
        <v>B</v>
      </c>
      <c r="L46" s="15"/>
    </row>
    <row r="47" spans="1:12" ht="30" x14ac:dyDescent="0.25">
      <c r="A47" s="14">
        <f t="shared" si="3"/>
        <v>39</v>
      </c>
      <c r="B47" s="15" t="s">
        <v>131</v>
      </c>
      <c r="C47" s="15" t="s">
        <v>132</v>
      </c>
      <c r="D47" s="15"/>
      <c r="E47" s="15" t="s">
        <v>133</v>
      </c>
      <c r="F47" s="16">
        <v>46024</v>
      </c>
      <c r="G47" s="17">
        <f t="shared" ca="1" si="0"/>
        <v>3</v>
      </c>
      <c r="H47" s="15" t="s">
        <v>28</v>
      </c>
      <c r="I47" s="15" t="s">
        <v>39</v>
      </c>
      <c r="J47" s="14" t="str">
        <f t="shared" ca="1" si="1"/>
        <v>NO</v>
      </c>
      <c r="K47" s="14" t="str">
        <f t="shared" ca="1" si="2"/>
        <v>NO APLICA</v>
      </c>
      <c r="L47" s="15"/>
    </row>
    <row r="48" spans="1:12" ht="30" x14ac:dyDescent="0.25">
      <c r="A48" s="14">
        <f t="shared" si="3"/>
        <v>40</v>
      </c>
      <c r="B48" s="15" t="s">
        <v>134</v>
      </c>
      <c r="C48" s="15" t="s">
        <v>135</v>
      </c>
      <c r="D48" s="15"/>
      <c r="E48" s="15" t="s">
        <v>84</v>
      </c>
      <c r="F48" s="16">
        <v>45995</v>
      </c>
      <c r="G48" s="17">
        <f t="shared" ca="1" si="0"/>
        <v>4</v>
      </c>
      <c r="H48" s="15" t="s">
        <v>28</v>
      </c>
      <c r="I48" s="15" t="s">
        <v>39</v>
      </c>
      <c r="J48" s="14" t="str">
        <f t="shared" ca="1" si="1"/>
        <v>NO</v>
      </c>
      <c r="K48" s="14" t="str">
        <f t="shared" ca="1" si="2"/>
        <v>NO APLICA</v>
      </c>
      <c r="L48" s="15"/>
    </row>
    <row r="49" spans="1:12" ht="30" x14ac:dyDescent="0.25">
      <c r="A49" s="14">
        <f t="shared" si="3"/>
        <v>41</v>
      </c>
      <c r="B49" s="15" t="s">
        <v>136</v>
      </c>
      <c r="C49" s="15" t="s">
        <v>137</v>
      </c>
      <c r="D49" s="15"/>
      <c r="E49" s="15" t="s">
        <v>138</v>
      </c>
      <c r="F49" s="16">
        <v>44317</v>
      </c>
      <c r="G49" s="17">
        <f t="shared" ca="1" si="0"/>
        <v>59</v>
      </c>
      <c r="H49" s="15" t="s">
        <v>28</v>
      </c>
      <c r="I49" s="15" t="s">
        <v>46</v>
      </c>
      <c r="J49" s="14" t="str">
        <f t="shared" ca="1" si="1"/>
        <v>SI</v>
      </c>
      <c r="K49" s="14" t="str">
        <f t="shared" ca="1" si="2"/>
        <v>A</v>
      </c>
      <c r="L49" s="15"/>
    </row>
    <row r="50" spans="1:12" ht="30" x14ac:dyDescent="0.25">
      <c r="A50" s="14">
        <f t="shared" si="3"/>
        <v>42</v>
      </c>
      <c r="B50" s="15" t="s">
        <v>139</v>
      </c>
      <c r="C50" s="15" t="s">
        <v>140</v>
      </c>
      <c r="D50" s="15"/>
      <c r="E50" s="15" t="s">
        <v>141</v>
      </c>
      <c r="F50" s="16">
        <v>45994</v>
      </c>
      <c r="G50" s="17">
        <f t="shared" ca="1" si="0"/>
        <v>4</v>
      </c>
      <c r="H50" s="15" t="s">
        <v>28</v>
      </c>
      <c r="I50" s="15" t="s">
        <v>46</v>
      </c>
      <c r="J50" s="14" t="str">
        <f t="shared" ca="1" si="1"/>
        <v>NO</v>
      </c>
      <c r="K50" s="14" t="str">
        <f t="shared" ca="1" si="2"/>
        <v>NO APLICA</v>
      </c>
      <c r="L50" s="15"/>
    </row>
    <row r="51" spans="1:12" ht="30" x14ac:dyDescent="0.25">
      <c r="A51" s="14">
        <f t="shared" si="3"/>
        <v>43</v>
      </c>
      <c r="B51" s="15" t="s">
        <v>142</v>
      </c>
      <c r="C51" s="15" t="s">
        <v>143</v>
      </c>
      <c r="D51" s="15"/>
      <c r="E51" s="15" t="s">
        <v>144</v>
      </c>
      <c r="F51" s="16">
        <v>46024</v>
      </c>
      <c r="G51" s="17">
        <f t="shared" ca="1" si="0"/>
        <v>3</v>
      </c>
      <c r="H51" s="15" t="s">
        <v>28</v>
      </c>
      <c r="I51" s="15" t="s">
        <v>39</v>
      </c>
      <c r="J51" s="14" t="str">
        <f t="shared" ca="1" si="1"/>
        <v>NO</v>
      </c>
      <c r="K51" s="14" t="str">
        <f t="shared" ca="1" si="2"/>
        <v>NO APLICA</v>
      </c>
      <c r="L51" s="15"/>
    </row>
    <row r="52" spans="1:12" ht="30" x14ac:dyDescent="0.25">
      <c r="A52" s="14">
        <f t="shared" si="3"/>
        <v>44</v>
      </c>
      <c r="B52" s="15" t="s">
        <v>145</v>
      </c>
      <c r="C52" s="15" t="s">
        <v>146</v>
      </c>
      <c r="D52" s="15"/>
      <c r="E52" s="15" t="s">
        <v>133</v>
      </c>
      <c r="F52" s="16">
        <v>45111</v>
      </c>
      <c r="G52" s="17">
        <f t="shared" ca="1" si="0"/>
        <v>33</v>
      </c>
      <c r="H52" s="15" t="s">
        <v>28</v>
      </c>
      <c r="I52" s="15" t="s">
        <v>39</v>
      </c>
      <c r="J52" s="14" t="str">
        <f t="shared" ca="1" si="1"/>
        <v>SI</v>
      </c>
      <c r="K52" s="14" t="str">
        <f t="shared" ca="1" si="2"/>
        <v>B</v>
      </c>
      <c r="L52" s="15"/>
    </row>
    <row r="53" spans="1:12" ht="30" x14ac:dyDescent="0.25">
      <c r="A53" s="14">
        <f t="shared" si="3"/>
        <v>45</v>
      </c>
      <c r="B53" s="15" t="s">
        <v>147</v>
      </c>
      <c r="C53" s="15" t="s">
        <v>148</v>
      </c>
      <c r="D53" s="15"/>
      <c r="E53" s="15" t="s">
        <v>149</v>
      </c>
      <c r="F53" s="16">
        <v>44927</v>
      </c>
      <c r="G53" s="17">
        <f t="shared" ca="1" si="0"/>
        <v>39</v>
      </c>
      <c r="H53" s="15" t="s">
        <v>28</v>
      </c>
      <c r="I53" s="15" t="s">
        <v>33</v>
      </c>
      <c r="J53" s="14" t="str">
        <f t="shared" ca="1" si="1"/>
        <v>SI</v>
      </c>
      <c r="K53" s="14" t="str">
        <f t="shared" ca="1" si="2"/>
        <v>A</v>
      </c>
      <c r="L53" s="15"/>
    </row>
    <row r="54" spans="1:12" ht="30" x14ac:dyDescent="0.25">
      <c r="A54" s="14">
        <f t="shared" si="3"/>
        <v>46</v>
      </c>
      <c r="B54" s="15" t="s">
        <v>150</v>
      </c>
      <c r="C54" s="15" t="s">
        <v>151</v>
      </c>
      <c r="D54" s="15"/>
      <c r="E54" s="15" t="s">
        <v>38</v>
      </c>
      <c r="F54" s="16">
        <v>45524</v>
      </c>
      <c r="G54" s="17">
        <f t="shared" ca="1" si="0"/>
        <v>20</v>
      </c>
      <c r="H54" s="15" t="s">
        <v>28</v>
      </c>
      <c r="I54" s="15" t="s">
        <v>39</v>
      </c>
      <c r="J54" s="14" t="str">
        <f t="shared" ca="1" si="1"/>
        <v>SI</v>
      </c>
      <c r="K54" s="14" t="str">
        <f t="shared" ca="1" si="2"/>
        <v>B</v>
      </c>
      <c r="L54" s="15"/>
    </row>
    <row r="55" spans="1:12" ht="30" x14ac:dyDescent="0.25">
      <c r="A55" s="14">
        <f t="shared" si="3"/>
        <v>47</v>
      </c>
      <c r="B55" s="15" t="s">
        <v>152</v>
      </c>
      <c r="C55" s="15" t="s">
        <v>153</v>
      </c>
      <c r="D55" s="15"/>
      <c r="E55" s="15" t="s">
        <v>154</v>
      </c>
      <c r="F55" s="16">
        <v>43891</v>
      </c>
      <c r="G55" s="17">
        <f t="shared" ca="1" si="0"/>
        <v>73</v>
      </c>
      <c r="H55" s="15" t="s">
        <v>28</v>
      </c>
      <c r="I55" s="15" t="s">
        <v>46</v>
      </c>
      <c r="J55" s="14" t="str">
        <f t="shared" ca="1" si="1"/>
        <v>SI</v>
      </c>
      <c r="K55" s="14" t="str">
        <f t="shared" ca="1" si="2"/>
        <v>A</v>
      </c>
      <c r="L55" s="15"/>
    </row>
    <row r="56" spans="1:12" ht="30" x14ac:dyDescent="0.25">
      <c r="A56" s="14">
        <f t="shared" si="3"/>
        <v>48</v>
      </c>
      <c r="B56" s="15" t="s">
        <v>155</v>
      </c>
      <c r="C56" s="15" t="s">
        <v>156</v>
      </c>
      <c r="D56" s="15"/>
      <c r="E56" s="15" t="s">
        <v>64</v>
      </c>
      <c r="F56" s="16">
        <v>45400</v>
      </c>
      <c r="G56" s="17">
        <f t="shared" ca="1" si="0"/>
        <v>24</v>
      </c>
      <c r="H56" s="15" t="s">
        <v>28</v>
      </c>
      <c r="I56" s="15" t="s">
        <v>46</v>
      </c>
      <c r="J56" s="14" t="str">
        <f t="shared" ca="1" si="1"/>
        <v>SI</v>
      </c>
      <c r="K56" s="14" t="str">
        <f t="shared" ca="1" si="2"/>
        <v>A</v>
      </c>
      <c r="L56" s="15"/>
    </row>
    <row r="57" spans="1:12" ht="30" x14ac:dyDescent="0.25">
      <c r="A57" s="14">
        <f t="shared" si="3"/>
        <v>49</v>
      </c>
      <c r="B57" s="15" t="s">
        <v>157</v>
      </c>
      <c r="C57" s="15" t="s">
        <v>158</v>
      </c>
      <c r="D57" s="15"/>
      <c r="E57" s="15" t="s">
        <v>159</v>
      </c>
      <c r="F57" s="16">
        <v>43962</v>
      </c>
      <c r="G57" s="17">
        <f t="shared" ca="1" si="0"/>
        <v>71</v>
      </c>
      <c r="H57" s="15" t="s">
        <v>28</v>
      </c>
      <c r="I57" s="15" t="s">
        <v>46</v>
      </c>
      <c r="J57" s="14" t="str">
        <f t="shared" ca="1" si="1"/>
        <v>SI</v>
      </c>
      <c r="K57" s="14" t="str">
        <f t="shared" ca="1" si="2"/>
        <v>A</v>
      </c>
      <c r="L57" s="15"/>
    </row>
  </sheetData>
  <mergeCells count="13">
    <mergeCell ref="A7:L7"/>
    <mergeCell ref="A5:B5"/>
    <mergeCell ref="A6:B6"/>
    <mergeCell ref="C6:E6"/>
    <mergeCell ref="F6:G6"/>
    <mergeCell ref="H6:I6"/>
    <mergeCell ref="K6:L6"/>
    <mergeCell ref="A1:B3"/>
    <mergeCell ref="C1:J2"/>
    <mergeCell ref="K1:K2"/>
    <mergeCell ref="L1:L2"/>
    <mergeCell ref="C3:J3"/>
    <mergeCell ref="A4:I4"/>
  </mergeCells>
  <conditionalFormatting sqref="J9:J57">
    <cfRule type="expression" dxfId="5" priority="1">
      <formula>EXACT(J9,"SI")</formula>
    </cfRule>
    <cfRule type="expression" dxfId="4" priority="2">
      <formula>$J9="SI"</formula>
    </cfRule>
    <cfRule type="expression" dxfId="3" priority="3">
      <formula>$J9="NO"</formula>
    </cfRule>
    <cfRule type="expression" dxfId="2" priority="4">
      <formula>LEFT($J9,9)="PENDIENTE"</formula>
    </cfRule>
  </conditionalFormatting>
  <conditionalFormatting sqref="K9:K57">
    <cfRule type="expression" dxfId="1" priority="5">
      <formula>$K9="A"</formula>
    </cfRule>
    <cfRule type="expression" dxfId="0" priority="6">
      <formula>$K9="B"</formula>
    </cfRule>
  </conditionalFormatting>
  <dataValidations count="2">
    <dataValidation type="list" allowBlank="1" sqref="I9:I57" xr:uid="{945CD64D-DE0A-405F-80A6-F5AD90F04489}">
      <formula1>"DIRECTIVO / JEFATURA / COORDINACIÓN,PROFESIONAL,TÉCNICO / TECNÓLOGO CON AUTONOMÍA,AUXILIAR / OPERATIVO / ASISTENCIAL"</formula1>
    </dataValidation>
    <dataValidation type="list" allowBlank="1" sqref="H9:H57" xr:uid="{1F0F77D1-AC6A-494D-9B4D-C979D2B0EF5E}">
      <formula1>"ACTIVO,CONTRATISTA,LICENCIA EXTENDIDA,INCAPACIDAD PROLONGADA,RETIRADO"</formula1>
    </dataValidation>
  </dataValidations>
  <pageMargins left="0.7" right="0.7" top="0.75" bottom="0.75" header="0.3" footer="0.3"/>
  <pageSetup paperSize="9" scale="47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 Consultor</dc:creator>
  <cp:lastModifiedBy>MGA Consultor</cp:lastModifiedBy>
  <dcterms:created xsi:type="dcterms:W3CDTF">2026-04-21T20:49:17Z</dcterms:created>
  <dcterms:modified xsi:type="dcterms:W3CDTF">2026-04-21T20:50:13Z</dcterms:modified>
</cp:coreProperties>
</file>